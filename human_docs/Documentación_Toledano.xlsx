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<sst xmlns="http://schemas.openxmlformats.org/spreadsheetml/2006/main" count="21" uniqueCount="21">
  <si>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No.</t>
  </si>
  <si>
    <t>Descripción</t>
  </si>
  <si>
    <t>Fecha inicio</t>
  </si>
  <si>
    <t>Fecha inicio real</t>
  </si>
  <si>
    <t>Fecha entrega</t>
  </si>
  <si>
    <t>Fecha entrega real</t>
  </si>
  <si>
    <t>OC</t>
  </si>
  <si>
    <t>Programadores</t>
  </si>
  <si>
    <t>Costo Operativo Diario</t>
  </si>
  <si>
    <t>Costo Q</t>
  </si>
  <si>
    <t>Dias</t>
  </si>
  <si>
    <t>Días reales</t>
  </si>
  <si>
    <t>Monto $</t>
  </si>
  <si>
    <t>Monto Q</t>
  </si>
  <si>
    <t>Integración FEL</t>
  </si>
  <si>
    <t>ROAD #1 13 Julio 2022</t>
  </si>
  <si>
    <t>Notas facturación manual</t>
  </si>
  <si>
    <t>ROAD #1 15 Julio 2023</t>
  </si>
  <si>
    <t>Pruebas y estabilización</t>
  </si>
  <si>
    <t>Salida en vivo</t>
  </si>
  <si>
    <t>Correcciones BOF y HH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</si>
</sst>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[$-409]d\-mmm\-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8" borderId="19" applyNumberFormat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5" fillId="0" borderId="2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1" borderId="20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14" borderId="22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14" borderId="20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178" fontId="0" fillId="0" borderId="4" xfId="0" applyNumberFormat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178" fontId="0" fillId="0" borderId="6" xfId="0" applyNumberFormat="1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>
      <alignment vertical="center"/>
    </xf>
    <xf numFmtId="178" fontId="0" fillId="3" borderId="6" xfId="0" applyNumberForma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>
      <alignment vertical="center"/>
    </xf>
    <xf numFmtId="178" fontId="0" fillId="3" borderId="8" xfId="0" applyNumberFormat="1" applyFill="1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1" fillId="2" borderId="11" xfId="0" applyFont="1" applyFill="1" applyBorder="1" applyAlignment="1">
      <alignment vertical="center" wrapText="1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NumberFormat="1" applyBorder="1" applyAlignment="1">
      <alignment horizontal="center" vertical="center"/>
    </xf>
    <xf numFmtId="0" fontId="0" fillId="0" borderId="10" xfId="0" applyNumberFormat="1" applyBorder="1">
      <alignment vertical="center"/>
    </xf>
    <xf numFmtId="0" fontId="0" fillId="0" borderId="16" xfId="0" applyNumberForma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J2" sqref="J2"/>
    </sheetView>
  </sheetViews>
  <sheetFormatPr defaultColWidth="8.88888888888889" defaultRowHeight="14.4" outlineLevelRow="7"/>
  <cols>
    <col min="1" max="1" width="4.66666666666667" style="2" customWidth="1"/>
    <col min="2" max="2" width="24.4444444444444" customWidth="1"/>
    <col min="3" max="3" width="11.4444444444444" customWidth="1"/>
    <col min="4" max="4" width="10.5555555555556" customWidth="1"/>
    <col min="5" max="5" width="12.3333333333333" customWidth="1"/>
    <col min="6" max="6" width="12.1111111111111" customWidth="1"/>
    <col min="7" max="7" width="12.4444444444444" style="1" customWidth="1"/>
    <col min="8" max="8" width="14.1111111111111" style="2" customWidth="1"/>
    <col min="9" max="9" width="16.7777777777778" style="2" customWidth="1"/>
    <col min="10" max="10" width="10.6666666666667" style="2" customWidth="1"/>
    <col min="11" max="11" width="5.11111111111111" customWidth="1"/>
    <col min="12" max="12" width="6.77777777777778" customWidth="1"/>
    <col min="13" max="13" width="8.66666666666667" customWidth="1"/>
    <col min="14" max="14" width="9.66666666666667"/>
    <col min="15" max="16" width="12.8888888888889"/>
  </cols>
  <sheetData>
    <row r="1" ht="15.15"/>
    <row r="2" s="1" customFormat="1" ht="31" customHeight="1" spans="1:14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4" t="s">
        <v>10</v>
      </c>
      <c r="L2" s="4" t="s">
        <v>11</v>
      </c>
      <c r="M2" s="4" t="s">
        <v>12</v>
      </c>
      <c r="N2" s="28" t="s">
        <v>13</v>
      </c>
    </row>
    <row r="3" ht="29.55" spans="1:14">
      <c r="A3" s="7">
        <v>1</v>
      </c>
      <c r="B3" s="8" t="s">
        <v>14</v>
      </c>
      <c r="C3" s="9">
        <v>44762</v>
      </c>
      <c r="D3" s="9">
        <v>45134</v>
      </c>
      <c r="E3" s="9">
        <v>45252</v>
      </c>
      <c r="F3" s="9">
        <v>45259</v>
      </c>
      <c r="G3" s="10" t="s">
        <v>15</v>
      </c>
      <c r="H3" s="11">
        <v>2</v>
      </c>
      <c r="I3" s="11">
        <f>ROUND((20900/22),2)</f>
        <v>950</v>
      </c>
      <c r="J3" s="11">
        <f>I3*K3</f>
        <v>83600</v>
      </c>
      <c r="K3" s="8">
        <v>88</v>
      </c>
      <c r="L3" s="8">
        <v>88</v>
      </c>
      <c r="M3" s="8">
        <v>36805</v>
      </c>
      <c r="N3" s="29">
        <f>M3*7.9</f>
        <v>290759.5</v>
      </c>
    </row>
    <row r="4" ht="28.8" spans="1:14">
      <c r="A4" s="12">
        <v>2</v>
      </c>
      <c r="B4" s="13" t="s">
        <v>16</v>
      </c>
      <c r="C4" s="14">
        <v>44939</v>
      </c>
      <c r="D4" s="14">
        <v>44939</v>
      </c>
      <c r="E4" s="14">
        <v>44946</v>
      </c>
      <c r="F4" s="14">
        <v>44953</v>
      </c>
      <c r="G4" s="15" t="s">
        <v>17</v>
      </c>
      <c r="H4" s="16">
        <v>2</v>
      </c>
      <c r="I4" s="11">
        <f>ROUND((20900/22),2)</f>
        <v>950</v>
      </c>
      <c r="J4" s="30">
        <f>I4*K4</f>
        <v>5700</v>
      </c>
      <c r="K4" s="13">
        <v>6</v>
      </c>
      <c r="L4" s="13">
        <v>6</v>
      </c>
      <c r="M4" s="13">
        <v>2824</v>
      </c>
      <c r="N4" s="31">
        <f>M4*7.9</f>
        <v>22309.6</v>
      </c>
    </row>
    <row r="5" spans="1:14">
      <c r="A5" s="12">
        <v>3</v>
      </c>
      <c r="B5" s="17" t="s">
        <v>18</v>
      </c>
      <c r="C5" s="18">
        <v>44994</v>
      </c>
      <c r="D5" s="18"/>
      <c r="E5" s="18">
        <v>44997</v>
      </c>
      <c r="F5" s="18"/>
      <c r="G5" s="15"/>
      <c r="H5" s="16">
        <v>1</v>
      </c>
      <c r="I5" s="16">
        <f>ROUND(12900/22,2)</f>
        <v>586.36</v>
      </c>
      <c r="J5" s="30">
        <f>I5*K5</f>
        <v>2345.44</v>
      </c>
      <c r="K5" s="13">
        <v>4</v>
      </c>
      <c r="L5" s="13"/>
      <c r="M5" s="13"/>
      <c r="N5" s="31"/>
    </row>
    <row r="6" spans="1:14">
      <c r="A6" s="12">
        <v>4</v>
      </c>
      <c r="B6" s="17" t="s">
        <v>19</v>
      </c>
      <c r="C6" s="18">
        <v>44998</v>
      </c>
      <c r="D6" s="18"/>
      <c r="E6" s="18">
        <v>45003</v>
      </c>
      <c r="F6" s="18"/>
      <c r="G6" s="15"/>
      <c r="H6" s="16">
        <v>3</v>
      </c>
      <c r="I6" s="16">
        <f>ROUND(27900/22,2)</f>
        <v>1268.18</v>
      </c>
      <c r="J6" s="30">
        <f>I6*K6</f>
        <v>26631.78</v>
      </c>
      <c r="K6" s="13">
        <v>21</v>
      </c>
      <c r="L6" s="13"/>
      <c r="M6" s="13"/>
      <c r="N6" s="31"/>
    </row>
    <row r="7" ht="15.15" spans="1:14">
      <c r="A7" s="19">
        <v>5</v>
      </c>
      <c r="B7" s="20" t="s">
        <v>20</v>
      </c>
      <c r="C7" s="21">
        <v>45005</v>
      </c>
      <c r="D7" s="21"/>
      <c r="E7" s="21">
        <v>45014</v>
      </c>
      <c r="F7" s="21"/>
      <c r="G7" s="22"/>
      <c r="H7" s="23">
        <v>1</v>
      </c>
      <c r="I7" s="23">
        <f>ROUND(12900/22,2)</f>
        <v>586.36</v>
      </c>
      <c r="J7" s="32">
        <f>I7*K7</f>
        <v>2931.8</v>
      </c>
      <c r="K7" s="33">
        <v>5</v>
      </c>
      <c r="L7" s="33"/>
      <c r="M7" s="33"/>
      <c r="N7" s="34"/>
    </row>
    <row r="8" ht="15.15" spans="1:14">
      <c r="A8" s="24"/>
      <c r="B8" s="25"/>
      <c r="C8" s="25"/>
      <c r="D8" s="25"/>
      <c r="E8" s="25"/>
      <c r="F8" s="25"/>
      <c r="G8" s="26"/>
      <c r="H8" s="27"/>
      <c r="I8" s="27"/>
      <c r="J8" s="35">
        <f>SUM(J3:J7)</f>
        <v>121209.02</v>
      </c>
      <c r="K8" s="36">
        <f>SUM(K3:K7)</f>
        <v>124</v>
      </c>
      <c r="L8" s="36"/>
      <c r="M8" s="36">
        <f>SUM(M3:M4)</f>
        <v>39629</v>
      </c>
      <c r="N8" s="37">
        <f>SUM(N3:N4)</f>
        <v>313069.1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DTS</cp:lastModifiedBy>
  <dcterms:created xsi:type="dcterms:W3CDTF">2023-03-29T03:20:00Z</dcterms:created>
  <dcterms:modified xsi:type="dcterms:W3CDTF">2023-03-29T20:39:39Z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0AA7D0CF3F9E41628A9530F6D40121EA</vt:lpwstr>
  </property>
  <property fmtid="{D5CDD505-2E9C-101B-9397-08002B2CF9AE}" pid="3" name="KSOProductBuildVer">
    <vt:lpwstr>1033-11.2.0.11516</vt:lpwstr>
  </property>
</Properties>
</file>